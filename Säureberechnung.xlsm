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M:\Vergärung\"/>
    </mc:Choice>
  </mc:AlternateContent>
  <xr:revisionPtr revIDLastSave="0" documentId="13_ncr:1_{BCB725C5-2F85-4411-A6F6-F9DDD01729B2}" xr6:coauthVersionLast="41" xr6:coauthVersionMax="41" xr10:uidLastSave="{00000000-0000-0000-0000-000000000000}"/>
  <bookViews>
    <workbookView xWindow="38280" yWindow="-120" windowWidth="38640" windowHeight="21240" xr2:uid="{00000000-000D-0000-FFFF-FFFF00000000}"/>
  </bookViews>
  <sheets>
    <sheet name="Tabelle2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" i="2" l="1"/>
  <c r="B8" i="2" l="1"/>
  <c r="B13" i="2" s="1"/>
  <c r="B9" i="2" l="1"/>
  <c r="B14" i="2"/>
  <c r="B12" i="2"/>
  <c r="B18" i="2" l="1"/>
  <c r="B19" i="2" s="1"/>
  <c r="B20" i="2" s="1"/>
  <c r="C4" i="2" l="1"/>
  <c r="B4" i="2"/>
</calcChain>
</file>

<file path=xl/sharedStrings.xml><?xml version="1.0" encoding="utf-8"?>
<sst xmlns="http://schemas.openxmlformats.org/spreadsheetml/2006/main" count="22" uniqueCount="19">
  <si>
    <t>Zucker dazu</t>
  </si>
  <si>
    <t>dichte</t>
  </si>
  <si>
    <t>anteil</t>
  </si>
  <si>
    <t>Verdünnung</t>
  </si>
  <si>
    <t>Volumen gesamt</t>
  </si>
  <si>
    <t>Wasser dazu</t>
  </si>
  <si>
    <t>Ausgangsmaterial</t>
  </si>
  <si>
    <t>Volumen</t>
  </si>
  <si>
    <t>Säure</t>
  </si>
  <si>
    <t>vol%</t>
  </si>
  <si>
    <t>Ziel</t>
  </si>
  <si>
    <t>Anzeil Zucker</t>
  </si>
  <si>
    <t>Dichte</t>
  </si>
  <si>
    <t>Gewicht</t>
  </si>
  <si>
    <t>Säure Verdünnung</t>
  </si>
  <si>
    <t>Säure nach Zucker</t>
  </si>
  <si>
    <t>Ergebnis</t>
  </si>
  <si>
    <t>Dichtetabelle</t>
  </si>
  <si>
    <t>Aufzuckern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</si>
</sst>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  <xf numFmtId="0" fontId="5" fillId="0" borderId="3" applyNumberFormat="0" applyFill="0" applyAlignment="0" applyProtection="0"/>
    <xf numFmtId="0" fontId="6" fillId="4" borderId="4" applyNumberFormat="0" applyAlignment="0" applyProtection="0"/>
  </cellStyleXfs>
  <cellXfs count="8">
    <xf numFmtId="0" fontId="0" fillId="0" borderId="0" xfId="0"/>
    <xf numFmtId="0" fontId="3" fillId="3" borderId="2" xfId="3"/>
    <xf numFmtId="0" fontId="2" fillId="2" borderId="1" xfId="2"/>
    <xf numFmtId="0" fontId="6" fillId="4" borderId="4" xfId="6"/>
    <xf numFmtId="0" fontId="1" fillId="0" borderId="0" xfId="1"/>
    <xf numFmtId="0" fontId="1" fillId="0" borderId="0" xfId="1" applyBorder="1"/>
    <xf numFmtId="0" fontId="5" fillId="2" borderId="3" xfId="5" applyFill="1"/>
    <xf numFmtId="0" fontId="4" fillId="3" borderId="1" xfId="4"/>
  </cellXfs>
  <cellStyles count="7">
    <cellStyle name="Ausgabe" xfId="3" builtinId="21"/>
    <cellStyle name="Berechnung" xfId="4" builtinId="22"/>
    <cellStyle name="Eingabe" xfId="2" builtinId="20"/>
    <cellStyle name="Standard" xfId="0" builtinId="0"/>
    <cellStyle name="Überschrift" xfId="1" builtinId="15"/>
    <cellStyle name="Verknüpfte Zelle" xfId="5" builtinId="24"/>
    <cellStyle name="Zelle überprüfen" xfId="6" builtinId="2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DEA35-F698-44EB-9C8F-59A850A67042}">
  <sheetPr codeName="Tabelle2"/>
  <dimension ref="A1:D29"/>
  <sheetViews>
    <sheetView tabSelected="1" workbookViewId="0">
      <selection activeCell="B13" sqref="B13"/>
    </sheetView>
  </sheetViews>
  <sheetFormatPr baseColWidth="10" defaultRowHeight="15" x14ac:dyDescent="0.25"/>
  <cols>
    <col min="1" max="1" width="18" customWidth="1"/>
  </cols>
  <sheetData>
    <row r="1" spans="1:4" x14ac:dyDescent="0.25">
      <c r="B1" t="s">
        <v>7</v>
      </c>
      <c r="C1" t="s">
        <v>8</v>
      </c>
      <c r="D1" t="s">
        <v>9</v>
      </c>
    </row>
    <row r="2" spans="1:4" x14ac:dyDescent="0.25">
      <c r="A2" t="s">
        <v>6</v>
      </c>
      <c r="B2" s="2">
        <v>30</v>
      </c>
      <c r="C2" s="2">
        <v>20</v>
      </c>
      <c r="D2" s="2">
        <v>3.46875</v>
      </c>
    </row>
    <row r="3" spans="1:4" x14ac:dyDescent="0.25">
      <c r="A3" t="s">
        <v>10</v>
      </c>
      <c r="C3" s="2">
        <v>7.5</v>
      </c>
      <c r="D3" s="2">
        <v>15</v>
      </c>
    </row>
    <row r="4" spans="1:4" x14ac:dyDescent="0.25">
      <c r="A4" t="s">
        <v>16</v>
      </c>
      <c r="B4" s="1">
        <f>B19</f>
        <v>80</v>
      </c>
      <c r="C4" s="1">
        <f>B20</f>
        <v>7.5</v>
      </c>
      <c r="D4" s="1">
        <f>D3</f>
        <v>15</v>
      </c>
    </row>
    <row r="6" spans="1:4" ht="23.25" x14ac:dyDescent="0.35">
      <c r="A6" s="4" t="s">
        <v>3</v>
      </c>
    </row>
    <row r="7" spans="1:4" ht="15.75" thickBot="1" x14ac:dyDescent="0.3">
      <c r="A7" t="s">
        <v>14</v>
      </c>
      <c r="B7" s="6">
        <v>8.5892491319444435</v>
      </c>
    </row>
    <row r="8" spans="1:4" ht="15.75" thickTop="1" x14ac:dyDescent="0.25">
      <c r="A8" t="s">
        <v>4</v>
      </c>
      <c r="B8">
        <f>B2*C2/B7</f>
        <v>69.854767370587538</v>
      </c>
    </row>
    <row r="9" spans="1:4" x14ac:dyDescent="0.25">
      <c r="A9" t="s">
        <v>5</v>
      </c>
      <c r="B9" s="1">
        <f>B8-B2</f>
        <v>39.854767370587538</v>
      </c>
    </row>
    <row r="11" spans="1:4" ht="23.25" x14ac:dyDescent="0.35">
      <c r="A11" s="4" t="s">
        <v>18</v>
      </c>
    </row>
    <row r="12" spans="1:4" x14ac:dyDescent="0.25">
      <c r="A12" t="s">
        <v>9</v>
      </c>
      <c r="B12" s="7">
        <f>D2*B2/B8</f>
        <v>1.4896978963216143</v>
      </c>
    </row>
    <row r="13" spans="1:4" x14ac:dyDescent="0.25">
      <c r="A13" t="s">
        <v>0</v>
      </c>
      <c r="B13" s="1">
        <f>(((D3-D2)*20.54)*B8)/1000</f>
        <v>16.545232629412475</v>
      </c>
    </row>
    <row r="14" spans="1:4" ht="15.75" thickBot="1" x14ac:dyDescent="0.3">
      <c r="A14" t="s">
        <v>11</v>
      </c>
      <c r="B14" s="7">
        <f>B13/(B13+B8)</f>
        <v>0.19149574802560734</v>
      </c>
    </row>
    <row r="15" spans="1:4" ht="16.5" thickTop="1" thickBot="1" x14ac:dyDescent="0.3">
      <c r="A15" t="s">
        <v>12</v>
      </c>
      <c r="B15" s="3">
        <v>1.08</v>
      </c>
    </row>
    <row r="16" spans="1:4" ht="15.75" thickTop="1" x14ac:dyDescent="0.25"/>
    <row r="17" spans="1:2" ht="23.25" x14ac:dyDescent="0.35">
      <c r="A17" s="5" t="s">
        <v>16</v>
      </c>
    </row>
    <row r="18" spans="1:2" x14ac:dyDescent="0.25">
      <c r="A18" t="s">
        <v>13</v>
      </c>
      <c r="B18" s="7">
        <f>B8+B13</f>
        <v>86.4</v>
      </c>
    </row>
    <row r="19" spans="1:2" x14ac:dyDescent="0.25">
      <c r="A19" t="s">
        <v>7</v>
      </c>
      <c r="B19" s="7">
        <f>B18/B15</f>
        <v>80</v>
      </c>
    </row>
    <row r="20" spans="1:2" x14ac:dyDescent="0.25">
      <c r="A20" t="s">
        <v>15</v>
      </c>
      <c r="B20" s="7">
        <f>B2*C2/B19</f>
        <v>7.5</v>
      </c>
    </row>
    <row r="22" spans="1:2" ht="23.25" x14ac:dyDescent="0.35">
      <c r="A22" s="4" t="s">
        <v>17</v>
      </c>
    </row>
    <row r="23" spans="1:2" x14ac:dyDescent="0.25">
      <c r="A23" t="s">
        <v>2</v>
      </c>
      <c r="B23" t="s">
        <v>1</v>
      </c>
    </row>
    <row r="24" spans="1:2" x14ac:dyDescent="0.25">
      <c r="A24">
        <v>0</v>
      </c>
      <c r="B24">
        <v>1</v>
      </c>
    </row>
    <row r="25" spans="1:2" x14ac:dyDescent="0.25">
      <c r="A25">
        <v>0.1</v>
      </c>
      <c r="B25">
        <v>1.0381</v>
      </c>
    </row>
    <row r="26" spans="1:2" x14ac:dyDescent="0.25">
      <c r="A26">
        <v>0.2</v>
      </c>
      <c r="B26">
        <v>1.081</v>
      </c>
    </row>
    <row r="27" spans="1:2" x14ac:dyDescent="0.25">
      <c r="A27">
        <v>0.3</v>
      </c>
      <c r="B27">
        <v>1.1222000000000001</v>
      </c>
    </row>
    <row r="28" spans="1:2" x14ac:dyDescent="0.25">
      <c r="A28">
        <v>0.4</v>
      </c>
      <c r="B28">
        <v>1.1763999999999999</v>
      </c>
    </row>
    <row r="29" spans="1:2" x14ac:dyDescent="0.25">
      <c r="A29">
        <v>0.5</v>
      </c>
      <c r="B29">
        <v>1.2296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Wolff</dc:creator>
  <cp:lastModifiedBy>Andreas Wolff</cp:lastModifiedBy>
  <dcterms:created xsi:type="dcterms:W3CDTF">2018-06-22T15:03:15Z</dcterms:created>
  <dcterms:modified xsi:type="dcterms:W3CDTF">2019-09-03T18:02:42Z</dcterms:modified>
</cp:coreProperties>
</file>